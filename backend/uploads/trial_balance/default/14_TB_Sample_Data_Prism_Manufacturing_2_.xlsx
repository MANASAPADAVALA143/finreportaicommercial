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_TB_FY2026" sheetId="1" state="visible" r:id="rId1"/>
    <sheet xmlns:r="http://schemas.openxmlformats.org/officeDocument/2006/relationships" name="Prior_TB_FY2025" sheetId="2" state="visible" r:id="rId2"/>
    <sheet xmlns:r="http://schemas.openxmlformats.org/officeDocument/2006/relationships" name="Expected_Variances" sheetId="3" state="visible" r:id="rId3"/>
    <sheet xmlns:r="http://schemas.openxmlformats.org/officeDocument/2006/relationships" name="HOW_TO_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F97316"/>
      <sz val="10"/>
    </font>
    <font>
      <name val="Arial"/>
      <color rgb="001E293B"/>
      <sz val="10"/>
    </font>
    <font>
      <name val="Arial"/>
      <b val="1"/>
      <color rgb="002E6DA4"/>
      <sz val="10"/>
    </font>
    <font>
      <name val="Arial"/>
      <b val="1"/>
      <color rgb="00FFFFFF"/>
      <sz val="12"/>
    </font>
    <font>
      <name val="Arial"/>
      <b val="1"/>
      <color rgb="00F97316"/>
      <sz val="11"/>
    </font>
    <font>
      <name val="Arial"/>
      <color rgb="00166534"/>
      <sz val="10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6DA4"/>
      </patternFill>
    </fill>
    <fill>
      <patternFill patternType="solid">
        <fgColor rgb="00F97316"/>
      </patternFill>
    </fill>
    <fill>
      <patternFill patternType="solid">
        <fgColor rgb="00FFF7ED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D6E8FA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indent="1"/>
    </xf>
    <xf numFmtId="3" fontId="4" fillId="7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left" vertical="center"/>
    </xf>
    <xf numFmtId="3" fontId="2" fillId="2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 indent="1"/>
    </xf>
    <xf numFmtId="3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3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indent="1"/>
    </xf>
    <xf numFmtId="3" fontId="4" fillId="8" borderId="1" applyAlignment="1" pivotButton="0" quotePrefix="0" xfId="0">
      <alignment horizontal="right" vertical="center"/>
    </xf>
    <xf numFmtId="164" fontId="4" fillId="8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left" vertical="center" indent="1"/>
    </xf>
    <xf numFmtId="0" fontId="8" fillId="9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8" customWidth="1" min="4" max="4"/>
  </cols>
  <sheetData>
    <row r="1" ht="30" customHeight="1">
      <c r="A1" s="1" t="inlineStr">
        <is>
          <t>PRISM MANUFACTURING LIMITED</t>
        </is>
      </c>
    </row>
    <row r="2" ht="20" customHeight="1">
      <c r="A2" s="2" t="inlineStr">
        <is>
          <t>Trial Balance — Year Ended 31 March 2026  |  Amounts in ₹</t>
        </is>
      </c>
    </row>
    <row r="3" ht="6" customHeight="1"/>
    <row r="4" ht="22" customHeight="1">
      <c r="A4" s="3" t="inlineStr">
        <is>
          <t>Account Code</t>
        </is>
      </c>
      <c r="B4" s="3" t="inlineStr">
        <is>
          <t>Account Name</t>
        </is>
      </c>
      <c r="C4" s="3" t="inlineStr">
        <is>
          <t>Debit (₹)</t>
        </is>
      </c>
      <c r="D4" s="3" t="inlineStr">
        <is>
          <t>Credit (₹)</t>
        </is>
      </c>
    </row>
    <row r="5" ht="20" customHeight="1">
      <c r="A5" s="4" t="inlineStr">
        <is>
          <t xml:space="preserve">  NON-CURRENT ASSETS</t>
        </is>
      </c>
      <c r="B5" s="5" t="n"/>
      <c r="C5" s="5" t="n"/>
      <c r="D5" s="5" t="n"/>
    </row>
    <row r="6" ht="18" customHeight="1">
      <c r="A6" s="6" t="inlineStr">
        <is>
          <t>1001</t>
        </is>
      </c>
      <c r="B6" s="7" t="inlineStr">
        <is>
          <t>Land and Building (Cost)</t>
        </is>
      </c>
      <c r="C6" s="8" t="n">
        <v>2500000</v>
      </c>
      <c r="D6" s="8" t="n"/>
    </row>
    <row r="7" ht="18" customHeight="1">
      <c r="A7" s="6" t="inlineStr">
        <is>
          <t>1002</t>
        </is>
      </c>
      <c r="B7" s="7" t="inlineStr">
        <is>
          <t>Acc. Depreciation — Building</t>
        </is>
      </c>
      <c r="C7" s="8" t="n"/>
      <c r="D7" s="8" t="n">
        <v>380000</v>
      </c>
    </row>
    <row r="8" ht="18" customHeight="1">
      <c r="A8" s="6" t="inlineStr">
        <is>
          <t>1003</t>
        </is>
      </c>
      <c r="B8" s="7" t="inlineStr">
        <is>
          <t>Plant and Machinery (Cost)</t>
        </is>
      </c>
      <c r="C8" s="8" t="n">
        <v>1850000</v>
      </c>
      <c r="D8" s="8" t="n"/>
    </row>
    <row r="9" ht="18" customHeight="1">
      <c r="A9" s="6" t="inlineStr">
        <is>
          <t>1004</t>
        </is>
      </c>
      <c r="B9" s="7" t="inlineStr">
        <is>
          <t>Acc. Depreciation — Plant</t>
        </is>
      </c>
      <c r="C9" s="8" t="n"/>
      <c r="D9" s="8" t="n">
        <v>720000</v>
      </c>
    </row>
    <row r="10" ht="18" customHeight="1">
      <c r="A10" s="6" t="inlineStr">
        <is>
          <t>1005</t>
        </is>
      </c>
      <c r="B10" s="7" t="inlineStr">
        <is>
          <t>Office Equipment (Cost)</t>
        </is>
      </c>
      <c r="C10" s="8" t="n">
        <v>185000</v>
      </c>
      <c r="D10" s="8" t="n"/>
    </row>
    <row r="11" ht="18" customHeight="1">
      <c r="A11" s="6" t="inlineStr">
        <is>
          <t>1006</t>
        </is>
      </c>
      <c r="B11" s="7" t="inlineStr">
        <is>
          <t>Acc. Depreciation — Equipment</t>
        </is>
      </c>
      <c r="C11" s="8" t="n"/>
      <c r="D11" s="8" t="n">
        <v>68000</v>
      </c>
    </row>
    <row r="12" ht="18" customHeight="1">
      <c r="A12" s="6" t="inlineStr">
        <is>
          <t>1007</t>
        </is>
      </c>
      <c r="B12" s="7" t="inlineStr">
        <is>
          <t>Right-of-Use Asset — Factory</t>
        </is>
      </c>
      <c r="C12" s="8" t="n">
        <v>420000</v>
      </c>
      <c r="D12" s="8" t="n"/>
    </row>
    <row r="13" ht="18" customHeight="1">
      <c r="A13" s="6" t="inlineStr">
        <is>
          <t>1008</t>
        </is>
      </c>
      <c r="B13" s="7" t="inlineStr">
        <is>
          <t>Acc. Depreciation — ROU Asset</t>
        </is>
      </c>
      <c r="C13" s="8" t="n"/>
      <c r="D13" s="8" t="n">
        <v>85000</v>
      </c>
    </row>
    <row r="14" ht="18" customHeight="1">
      <c r="A14" s="6" t="inlineStr">
        <is>
          <t>1009</t>
        </is>
      </c>
      <c r="B14" s="7" t="inlineStr">
        <is>
          <t>Goodwill</t>
        </is>
      </c>
      <c r="C14" s="8" t="n">
        <v>420000</v>
      </c>
      <c r="D14" s="8" t="n"/>
    </row>
    <row r="15" ht="18" customHeight="1">
      <c r="A15" s="6" t="inlineStr">
        <is>
          <t>1010</t>
        </is>
      </c>
      <c r="B15" s="7" t="inlineStr">
        <is>
          <t>Customer Relationships</t>
        </is>
      </c>
      <c r="C15" s="8" t="n">
        <v>185000</v>
      </c>
      <c r="D15" s="8" t="n"/>
    </row>
    <row r="16" ht="18" customHeight="1">
      <c r="A16" s="6" t="inlineStr">
        <is>
          <t>1011</t>
        </is>
      </c>
      <c r="B16" s="7" t="inlineStr">
        <is>
          <t>Acc. Amortisation — Intangibles</t>
        </is>
      </c>
      <c r="C16" s="8" t="n"/>
      <c r="D16" s="8" t="n">
        <v>75000</v>
      </c>
    </row>
    <row r="17" ht="18" customHeight="1">
      <c r="A17" s="6" t="inlineStr">
        <is>
          <t>1012</t>
        </is>
      </c>
      <c r="B17" s="7" t="inlineStr">
        <is>
          <t>Investment in Associates</t>
        </is>
      </c>
      <c r="C17" s="8" t="n">
        <v>265000</v>
      </c>
      <c r="D17" s="8" t="n"/>
    </row>
    <row r="18" ht="18" customHeight="1">
      <c r="A18" s="6" t="inlineStr">
        <is>
          <t>1013</t>
        </is>
      </c>
      <c r="B18" s="7" t="inlineStr">
        <is>
          <t>Deferred Tax Asset</t>
        </is>
      </c>
      <c r="C18" s="8" t="n">
        <v>48000</v>
      </c>
      <c r="D18" s="8" t="n"/>
    </row>
    <row r="19" ht="20" customHeight="1">
      <c r="A19" s="4" t="inlineStr">
        <is>
          <t xml:space="preserve">  CURRENT ASSETS</t>
        </is>
      </c>
      <c r="B19" s="5" t="n"/>
      <c r="C19" s="5" t="n"/>
      <c r="D19" s="5" t="n"/>
    </row>
    <row r="20" ht="18" customHeight="1">
      <c r="A20" s="6" t="inlineStr">
        <is>
          <t>2001</t>
        </is>
      </c>
      <c r="B20" s="7" t="inlineStr">
        <is>
          <t>Raw Material Inventory</t>
        </is>
      </c>
      <c r="C20" s="8" t="n">
        <v>380000</v>
      </c>
      <c r="D20" s="8" t="n"/>
    </row>
    <row r="21" ht="18" customHeight="1">
      <c r="A21" s="6" t="inlineStr">
        <is>
          <t>2002</t>
        </is>
      </c>
      <c r="B21" s="7" t="inlineStr">
        <is>
          <t>Work in Progress</t>
        </is>
      </c>
      <c r="C21" s="8" t="n">
        <v>165000</v>
      </c>
      <c r="D21" s="8" t="n"/>
    </row>
    <row r="22" ht="18" customHeight="1">
      <c r="A22" s="6" t="inlineStr">
        <is>
          <t>2003</t>
        </is>
      </c>
      <c r="B22" s="7" t="inlineStr">
        <is>
          <t>Finished Goods</t>
        </is>
      </c>
      <c r="C22" s="8" t="n">
        <v>245000</v>
      </c>
      <c r="D22" s="8" t="n"/>
    </row>
    <row r="23" ht="18" customHeight="1">
      <c r="A23" s="6" t="inlineStr">
        <is>
          <t>2004</t>
        </is>
      </c>
      <c r="B23" s="7" t="inlineStr">
        <is>
          <t>Trade Receivables</t>
        </is>
      </c>
      <c r="C23" s="8" t="n">
        <v>920000</v>
      </c>
      <c r="D23" s="8" t="n"/>
    </row>
    <row r="24" ht="18" customHeight="1">
      <c r="A24" s="6" t="inlineStr">
        <is>
          <t>2005</t>
        </is>
      </c>
      <c r="B24" s="7" t="inlineStr">
        <is>
          <t>Loss Allowance — Trade Receivables</t>
        </is>
      </c>
      <c r="C24" s="8" t="n"/>
      <c r="D24" s="8" t="n">
        <v>45000</v>
      </c>
    </row>
    <row r="25" ht="18" customHeight="1">
      <c r="A25" s="6" t="inlineStr">
        <is>
          <t>2006</t>
        </is>
      </c>
      <c r="B25" s="7" t="inlineStr">
        <is>
          <t>Contract Assets</t>
        </is>
      </c>
      <c r="C25" s="8" t="n">
        <v>105000</v>
      </c>
      <c r="D25" s="8" t="n"/>
    </row>
    <row r="26" ht="18" customHeight="1">
      <c r="A26" s="6" t="inlineStr">
        <is>
          <t>2007</t>
        </is>
      </c>
      <c r="B26" s="7" t="inlineStr">
        <is>
          <t>Prepayments</t>
        </is>
      </c>
      <c r="C26" s="8" t="n">
        <v>52000</v>
      </c>
      <c r="D26" s="8" t="n"/>
    </row>
    <row r="27" ht="18" customHeight="1">
      <c r="A27" s="6" t="inlineStr">
        <is>
          <t>2008</t>
        </is>
      </c>
      <c r="B27" s="7" t="inlineStr">
        <is>
          <t>Other Receivables</t>
        </is>
      </c>
      <c r="C27" s="8" t="n">
        <v>28000</v>
      </c>
      <c r="D27" s="8" t="n"/>
    </row>
    <row r="28" ht="18" customHeight="1">
      <c r="A28" s="6" t="inlineStr">
        <is>
          <t>2009</t>
        </is>
      </c>
      <c r="B28" s="7" t="inlineStr">
        <is>
          <t>Cash and Cash Equivalents</t>
        </is>
      </c>
      <c r="C28" s="8" t="n">
        <v>210000</v>
      </c>
      <c r="D28" s="8" t="n"/>
    </row>
    <row r="29" ht="18" customHeight="1">
      <c r="A29" s="6" t="inlineStr">
        <is>
          <t>2010</t>
        </is>
      </c>
      <c r="B29" s="7" t="inlineStr">
        <is>
          <t>Short-term Deposits</t>
        </is>
      </c>
      <c r="C29" s="8" t="n">
        <v>85000</v>
      </c>
      <c r="D29" s="8" t="n"/>
    </row>
    <row r="30" ht="20" customHeight="1">
      <c r="A30" s="4" t="inlineStr">
        <is>
          <t xml:space="preserve">  EQUITY</t>
        </is>
      </c>
      <c r="B30" s="5" t="n"/>
      <c r="C30" s="5" t="n"/>
      <c r="D30" s="5" t="n"/>
    </row>
    <row r="31" ht="18" customHeight="1">
      <c r="A31" s="6" t="inlineStr">
        <is>
          <t>3001</t>
        </is>
      </c>
      <c r="B31" s="7" t="inlineStr">
        <is>
          <t>Share Capital</t>
        </is>
      </c>
      <c r="C31" s="8" t="n"/>
      <c r="D31" s="8" t="n">
        <v>500000</v>
      </c>
    </row>
    <row r="32" ht="18" customHeight="1">
      <c r="A32" s="6" t="inlineStr">
        <is>
          <t>3002</t>
        </is>
      </c>
      <c r="B32" s="7" t="inlineStr">
        <is>
          <t>Share Premium</t>
        </is>
      </c>
      <c r="C32" s="8" t="n"/>
      <c r="D32" s="8" t="n">
        <v>320000</v>
      </c>
    </row>
    <row r="33" ht="18" customHeight="1">
      <c r="A33" s="6" t="inlineStr">
        <is>
          <t>3003</t>
        </is>
      </c>
      <c r="B33" s="7" t="inlineStr">
        <is>
          <t>Retained Earnings Opening</t>
        </is>
      </c>
      <c r="C33" s="8" t="n"/>
      <c r="D33" s="8" t="n">
        <v>985000</v>
      </c>
    </row>
    <row r="34" ht="18" customHeight="1">
      <c r="A34" s="6" t="inlineStr">
        <is>
          <t>3004</t>
        </is>
      </c>
      <c r="B34" s="7" t="inlineStr">
        <is>
          <t>OCI Reserve</t>
        </is>
      </c>
      <c r="C34" s="8" t="n"/>
      <c r="D34" s="8" t="n">
        <v>42000</v>
      </c>
    </row>
    <row r="35" ht="18" customHeight="1">
      <c r="A35" s="6" t="inlineStr">
        <is>
          <t>3005</t>
        </is>
      </c>
      <c r="B35" s="7" t="inlineStr">
        <is>
          <t>Foreign Currency Translation Reserve</t>
        </is>
      </c>
      <c r="C35" s="8" t="n"/>
      <c r="D35" s="8" t="n">
        <v>22000</v>
      </c>
    </row>
    <row r="36" ht="20" customHeight="1">
      <c r="A36" s="4" t="inlineStr">
        <is>
          <t xml:space="preserve">  NON-CURRENT LIABILITIES</t>
        </is>
      </c>
      <c r="B36" s="5" t="n"/>
      <c r="C36" s="5" t="n"/>
      <c r="D36" s="5" t="n"/>
    </row>
    <row r="37" ht="18" customHeight="1">
      <c r="A37" s="6" t="inlineStr">
        <is>
          <t>4001</t>
        </is>
      </c>
      <c r="B37" s="7" t="inlineStr">
        <is>
          <t>Term Loan — Non-Current</t>
        </is>
      </c>
      <c r="C37" s="8" t="n"/>
      <c r="D37" s="8" t="n">
        <v>580000</v>
      </c>
    </row>
    <row r="38" ht="18" customHeight="1">
      <c r="A38" s="6" t="inlineStr">
        <is>
          <t>4002</t>
        </is>
      </c>
      <c r="B38" s="7" t="inlineStr">
        <is>
          <t>Lease Liability — Non-Current</t>
        </is>
      </c>
      <c r="C38" s="8" t="n"/>
      <c r="D38" s="8" t="n">
        <v>285000</v>
      </c>
    </row>
    <row r="39" ht="18" customHeight="1">
      <c r="A39" s="6" t="inlineStr">
        <is>
          <t>4003</t>
        </is>
      </c>
      <c r="B39" s="7" t="inlineStr">
        <is>
          <t>Deferred Tax Liability</t>
        </is>
      </c>
      <c r="C39" s="8" t="n"/>
      <c r="D39" s="8" t="n">
        <v>112000</v>
      </c>
    </row>
    <row r="40" ht="18" customHeight="1">
      <c r="A40" s="6" t="inlineStr">
        <is>
          <t>4004</t>
        </is>
      </c>
      <c r="B40" s="7" t="inlineStr">
        <is>
          <t>Employee Benefit Obligation</t>
        </is>
      </c>
      <c r="C40" s="8" t="n"/>
      <c r="D40" s="8" t="n">
        <v>72000</v>
      </c>
    </row>
    <row r="41" ht="18" customHeight="1">
      <c r="A41" s="6" t="inlineStr">
        <is>
          <t>4005</t>
        </is>
      </c>
      <c r="B41" s="7" t="inlineStr">
        <is>
          <t>Provision for Decommissioning</t>
        </is>
      </c>
      <c r="C41" s="8" t="n"/>
      <c r="D41" s="8" t="n">
        <v>35000</v>
      </c>
    </row>
    <row r="42" ht="20" customHeight="1">
      <c r="A42" s="4" t="inlineStr">
        <is>
          <t xml:space="preserve">  CURRENT LIABILITIES</t>
        </is>
      </c>
      <c r="B42" s="5" t="n"/>
      <c r="C42" s="5" t="n"/>
      <c r="D42" s="5" t="n"/>
    </row>
    <row r="43" ht="18" customHeight="1">
      <c r="A43" s="6" t="inlineStr">
        <is>
          <t>5001</t>
        </is>
      </c>
      <c r="B43" s="7" t="inlineStr">
        <is>
          <t>Trade Payables</t>
        </is>
      </c>
      <c r="C43" s="8" t="n"/>
      <c r="D43" s="8" t="n">
        <v>485000</v>
      </c>
    </row>
    <row r="44" ht="18" customHeight="1">
      <c r="A44" s="6" t="inlineStr">
        <is>
          <t>5002</t>
        </is>
      </c>
      <c r="B44" s="7" t="inlineStr">
        <is>
          <t>Term Loan — Current</t>
        </is>
      </c>
      <c r="C44" s="8" t="n"/>
      <c r="D44" s="8" t="n">
        <v>150000</v>
      </c>
    </row>
    <row r="45" ht="18" customHeight="1">
      <c r="A45" s="6" t="inlineStr">
        <is>
          <t>5003</t>
        </is>
      </c>
      <c r="B45" s="7" t="inlineStr">
        <is>
          <t>Lease Liability — Current</t>
        </is>
      </c>
      <c r="C45" s="8" t="n"/>
      <c r="D45" s="8" t="n">
        <v>95000</v>
      </c>
    </row>
    <row r="46" ht="18" customHeight="1">
      <c r="A46" s="6" t="inlineStr">
        <is>
          <t>5004</t>
        </is>
      </c>
      <c r="B46" s="7" t="inlineStr">
        <is>
          <t>Contract Liabilities</t>
        </is>
      </c>
      <c r="C46" s="8" t="n"/>
      <c r="D46" s="8" t="n">
        <v>68000</v>
      </c>
    </row>
    <row r="47" ht="18" customHeight="1">
      <c r="A47" s="6" t="inlineStr">
        <is>
          <t>5005</t>
        </is>
      </c>
      <c r="B47" s="7" t="inlineStr">
        <is>
          <t>Income Tax Payable</t>
        </is>
      </c>
      <c r="C47" s="8" t="n"/>
      <c r="D47" s="8" t="n">
        <v>58000</v>
      </c>
    </row>
    <row r="48" ht="18" customHeight="1">
      <c r="A48" s="6" t="inlineStr">
        <is>
          <t>5006</t>
        </is>
      </c>
      <c r="B48" s="7" t="inlineStr">
        <is>
          <t>Accrued Expenses</t>
        </is>
      </c>
      <c r="C48" s="8" t="n"/>
      <c r="D48" s="8" t="n">
        <v>142000</v>
      </c>
    </row>
    <row r="49" ht="20" customHeight="1">
      <c r="A49" s="4" t="inlineStr">
        <is>
          <t xml:space="preserve">  REVENUE</t>
        </is>
      </c>
      <c r="B49" s="5" t="n"/>
      <c r="C49" s="5" t="n"/>
      <c r="D49" s="5" t="n"/>
    </row>
    <row r="50" ht="18" customHeight="1">
      <c r="A50" s="6" t="inlineStr">
        <is>
          <t>6001</t>
        </is>
      </c>
      <c r="B50" s="7" t="inlineStr">
        <is>
          <t>Revenue from Contracts — Goods</t>
        </is>
      </c>
      <c r="C50" s="8" t="n"/>
      <c r="D50" s="8" t="n">
        <v>3250000</v>
      </c>
    </row>
    <row r="51" ht="18" customHeight="1">
      <c r="A51" s="6" t="inlineStr">
        <is>
          <t>6002</t>
        </is>
      </c>
      <c r="B51" s="7" t="inlineStr">
        <is>
          <t>Revenue from Contracts — Services</t>
        </is>
      </c>
      <c r="C51" s="8" t="n"/>
      <c r="D51" s="8" t="n">
        <v>485000</v>
      </c>
    </row>
    <row r="52" ht="18" customHeight="1">
      <c r="A52" s="6" t="inlineStr">
        <is>
          <t>6003</t>
        </is>
      </c>
      <c r="B52" s="7" t="inlineStr">
        <is>
          <t>Other Operating Income</t>
        </is>
      </c>
      <c r="C52" s="8" t="n"/>
      <c r="D52" s="8" t="n">
        <v>72000</v>
      </c>
    </row>
    <row r="53" ht="18" customHeight="1">
      <c r="A53" s="6" t="inlineStr">
        <is>
          <t>6004</t>
        </is>
      </c>
      <c r="B53" s="7" t="inlineStr">
        <is>
          <t>Interest Income</t>
        </is>
      </c>
      <c r="C53" s="8" t="n"/>
      <c r="D53" s="8" t="n">
        <v>28000</v>
      </c>
    </row>
    <row r="54" ht="18" customHeight="1">
      <c r="A54" s="6" t="inlineStr">
        <is>
          <t>6005</t>
        </is>
      </c>
      <c r="B54" s="7" t="inlineStr">
        <is>
          <t>Share of Profit of Associates</t>
        </is>
      </c>
      <c r="C54" s="8" t="n"/>
      <c r="D54" s="8" t="n">
        <v>32000</v>
      </c>
    </row>
    <row r="55" ht="18" customHeight="1">
      <c r="A55" s="6" t="inlineStr">
        <is>
          <t>6006</t>
        </is>
      </c>
      <c r="B55" s="7" t="inlineStr">
        <is>
          <t>Gain on Disposal of PPE</t>
        </is>
      </c>
      <c r="C55" s="8" t="n"/>
      <c r="D55" s="8" t="n">
        <v>15000</v>
      </c>
    </row>
    <row r="56" ht="20" customHeight="1">
      <c r="A56" s="4" t="inlineStr">
        <is>
          <t xml:space="preserve">  EXPENSES</t>
        </is>
      </c>
      <c r="B56" s="5" t="n"/>
      <c r="C56" s="5" t="n"/>
      <c r="D56" s="5" t="n"/>
    </row>
    <row r="57" ht="18" customHeight="1">
      <c r="A57" s="6" t="inlineStr">
        <is>
          <t>7001</t>
        </is>
      </c>
      <c r="B57" s="7" t="inlineStr">
        <is>
          <t>Cost of Raw Materials Consumed</t>
        </is>
      </c>
      <c r="C57" s="8" t="n">
        <v>1420000</v>
      </c>
      <c r="D57" s="8" t="n"/>
    </row>
    <row r="58" ht="18" customHeight="1">
      <c r="A58" s="6" t="inlineStr">
        <is>
          <t>7002</t>
        </is>
      </c>
      <c r="B58" s="7" t="inlineStr">
        <is>
          <t>Changes in Inventories</t>
        </is>
      </c>
      <c r="C58" s="8" t="n">
        <v>42000</v>
      </c>
      <c r="D58" s="8" t="n"/>
    </row>
    <row r="59" ht="18" customHeight="1">
      <c r="A59" s="6" t="inlineStr">
        <is>
          <t>7003</t>
        </is>
      </c>
      <c r="B59" s="7" t="inlineStr">
        <is>
          <t>Employee Benefits Expense</t>
        </is>
      </c>
      <c r="C59" s="8" t="n">
        <v>520000</v>
      </c>
      <c r="D59" s="8" t="n"/>
    </row>
    <row r="60" ht="18" customHeight="1">
      <c r="A60" s="6" t="inlineStr">
        <is>
          <t>7004</t>
        </is>
      </c>
      <c r="B60" s="7" t="inlineStr">
        <is>
          <t>Depreciation — PPE</t>
        </is>
      </c>
      <c r="C60" s="8" t="n">
        <v>165000</v>
      </c>
      <c r="D60" s="8" t="n"/>
    </row>
    <row r="61" ht="18" customHeight="1">
      <c r="A61" s="6" t="inlineStr">
        <is>
          <t>7005</t>
        </is>
      </c>
      <c r="B61" s="7" t="inlineStr">
        <is>
          <t>Depreciation — ROU Asset</t>
        </is>
      </c>
      <c r="C61" s="8" t="n">
        <v>85000</v>
      </c>
      <c r="D61" s="8" t="n"/>
    </row>
    <row r="62" ht="18" customHeight="1">
      <c r="A62" s="6" t="inlineStr">
        <is>
          <t>7006</t>
        </is>
      </c>
      <c r="B62" s="7" t="inlineStr">
        <is>
          <t>Amortisation — Intangibles</t>
        </is>
      </c>
      <c r="C62" s="8" t="n">
        <v>68000</v>
      </c>
      <c r="D62" s="8" t="n"/>
    </row>
    <row r="63" ht="18" customHeight="1">
      <c r="A63" s="6" t="inlineStr">
        <is>
          <t>7007</t>
        </is>
      </c>
      <c r="B63" s="7" t="inlineStr">
        <is>
          <t>Finance Costs — Loans</t>
        </is>
      </c>
      <c r="C63" s="8" t="n">
        <v>58000</v>
      </c>
      <c r="D63" s="8" t="n"/>
    </row>
    <row r="64" ht="18" customHeight="1">
      <c r="A64" s="6" t="inlineStr">
        <is>
          <t>7008</t>
        </is>
      </c>
      <c r="B64" s="7" t="inlineStr">
        <is>
          <t>Finance Costs — Leases</t>
        </is>
      </c>
      <c r="C64" s="8" t="n">
        <v>32000</v>
      </c>
      <c r="D64" s="8" t="n"/>
    </row>
    <row r="65" ht="18" customHeight="1">
      <c r="A65" s="6" t="inlineStr">
        <is>
          <t>7009</t>
        </is>
      </c>
      <c r="B65" s="7" t="inlineStr">
        <is>
          <t>Selling and Distribution Expense</t>
        </is>
      </c>
      <c r="C65" s="8" t="n">
        <v>195000</v>
      </c>
      <c r="D65" s="8" t="n"/>
    </row>
    <row r="66" ht="18" customHeight="1">
      <c r="A66" s="6" t="inlineStr">
        <is>
          <t>7010</t>
        </is>
      </c>
      <c r="B66" s="7" t="inlineStr">
        <is>
          <t>General and Administrative Expense</t>
        </is>
      </c>
      <c r="C66" s="8" t="n">
        <v>158000</v>
      </c>
      <c r="D66" s="8" t="n"/>
    </row>
    <row r="67" ht="18" customHeight="1">
      <c r="A67" s="6" t="inlineStr">
        <is>
          <t>7011</t>
        </is>
      </c>
      <c r="B67" s="7" t="inlineStr">
        <is>
          <t>Research and Development Expense</t>
        </is>
      </c>
      <c r="C67" s="8" t="n">
        <v>45000</v>
      </c>
      <c r="D67" s="8" t="n"/>
    </row>
    <row r="68" ht="18" customHeight="1">
      <c r="A68" s="6" t="inlineStr">
        <is>
          <t>7012</t>
        </is>
      </c>
      <c r="B68" s="7" t="inlineStr">
        <is>
          <t>ECL Charge — Trade Receivables</t>
        </is>
      </c>
      <c r="C68" s="8" t="n">
        <v>15000</v>
      </c>
      <c r="D68" s="8" t="n"/>
    </row>
    <row r="69" ht="18" customHeight="1">
      <c r="A69" s="6" t="inlineStr">
        <is>
          <t>7013</t>
        </is>
      </c>
      <c r="B69" s="7" t="inlineStr">
        <is>
          <t>Foreign Exchange Loss</t>
        </is>
      </c>
      <c r="C69" s="8" t="n">
        <v>18000</v>
      </c>
      <c r="D69" s="8" t="n"/>
    </row>
    <row r="70" ht="18" customHeight="1">
      <c r="A70" s="6" t="inlineStr">
        <is>
          <t>7014</t>
        </is>
      </c>
      <c r="B70" s="7" t="inlineStr">
        <is>
          <t>Impairment Loss — Goodwill</t>
        </is>
      </c>
      <c r="C70" s="8" t="n"/>
      <c r="D70" s="8" t="n"/>
    </row>
    <row r="71" ht="20" customHeight="1">
      <c r="A71" s="4" t="inlineStr">
        <is>
          <t xml:space="preserve">  TAX</t>
        </is>
      </c>
      <c r="B71" s="5" t="n"/>
      <c r="C71" s="5" t="n"/>
      <c r="D71" s="5" t="n"/>
    </row>
    <row r="72" ht="18" customHeight="1">
      <c r="A72" s="6" t="inlineStr">
        <is>
          <t>8001</t>
        </is>
      </c>
      <c r="B72" s="7" t="inlineStr">
        <is>
          <t>Income Tax Expense — Current</t>
        </is>
      </c>
      <c r="C72" s="8" t="n">
        <v>105000</v>
      </c>
      <c r="D72" s="8" t="n"/>
    </row>
    <row r="73" ht="18" customHeight="1">
      <c r="A73" s="6" t="inlineStr">
        <is>
          <t>8002</t>
        </is>
      </c>
      <c r="B73" s="7" t="inlineStr">
        <is>
          <t>Income Tax Expense — Deferred</t>
        </is>
      </c>
      <c r="C73" s="8" t="n">
        <v>12000</v>
      </c>
      <c r="D73" s="8" t="n"/>
    </row>
    <row r="74" ht="20" customHeight="1">
      <c r="A74" s="4" t="inlineStr">
        <is>
          <t xml:space="preserve">  OTHER COMPREHENSIVE INCOME</t>
        </is>
      </c>
      <c r="B74" s="5" t="n"/>
      <c r="C74" s="5" t="n"/>
      <c r="D74" s="5" t="n"/>
    </row>
    <row r="75" ht="18" customHeight="1">
      <c r="A75" s="6" t="inlineStr">
        <is>
          <t>9001</t>
        </is>
      </c>
      <c r="B75" s="7" t="inlineStr">
        <is>
          <t>Remeasurement — Defined Benefit Plans</t>
        </is>
      </c>
      <c r="C75" s="8" t="n">
        <v>14000</v>
      </c>
      <c r="D75" s="8" t="n"/>
    </row>
    <row r="76" ht="18" customHeight="1">
      <c r="A76" s="6" t="inlineStr">
        <is>
          <t>9002</t>
        </is>
      </c>
      <c r="B76" s="7" t="inlineStr">
        <is>
          <t>Fair Value Change — Equity Instruments</t>
        </is>
      </c>
      <c r="C76" s="8" t="n"/>
      <c r="D76" s="8" t="n">
        <v>9500</v>
      </c>
    </row>
    <row r="77" ht="18" customHeight="1">
      <c r="A77" s="6" t="inlineStr">
        <is>
          <t>9003</t>
        </is>
      </c>
      <c r="B77" s="7" t="inlineStr">
        <is>
          <t>Foreign Currency Translation Differences</t>
        </is>
      </c>
      <c r="C77" s="8" t="n"/>
      <c r="D77" s="8" t="n">
        <v>18000</v>
      </c>
    </row>
    <row r="78" ht="22" customHeight="1">
      <c r="A78" s="9" t="inlineStr"/>
      <c r="B78" s="9" t="inlineStr">
        <is>
          <t>TOTAL</t>
        </is>
      </c>
      <c r="C78" s="10">
        <f>SUM(C5:C77)</f>
        <v/>
      </c>
      <c r="D78" s="10">
        <f>SUM(D5:D77)</f>
        <v/>
      </c>
    </row>
  </sheetData>
  <mergeCells count="11">
    <mergeCell ref="A1:D1"/>
    <mergeCell ref="A5:D5"/>
    <mergeCell ref="A56:D56"/>
    <mergeCell ref="A49:D49"/>
    <mergeCell ref="A74:D74"/>
    <mergeCell ref="A30:D30"/>
    <mergeCell ref="A19:D19"/>
    <mergeCell ref="A2:D2"/>
    <mergeCell ref="A71:D71"/>
    <mergeCell ref="A42:D4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8" customWidth="1" min="4" max="4"/>
  </cols>
  <sheetData>
    <row r="1" ht="30" customHeight="1">
      <c r="A1" s="1" t="inlineStr">
        <is>
          <t>PRISM MANUFACTURING LIMITED</t>
        </is>
      </c>
    </row>
    <row r="2" ht="20" customHeight="1">
      <c r="A2" s="2" t="inlineStr">
        <is>
          <t>Trial Balance — Year Ended 31 March 2025  |  Amounts in ₹</t>
        </is>
      </c>
    </row>
    <row r="3" ht="6" customHeight="1"/>
    <row r="4" ht="22" customHeight="1">
      <c r="A4" s="2" t="inlineStr">
        <is>
          <t>Account Code</t>
        </is>
      </c>
      <c r="B4" s="2" t="inlineStr">
        <is>
          <t>Account Name</t>
        </is>
      </c>
      <c r="C4" s="2" t="inlineStr">
        <is>
          <t>Debit (₹)</t>
        </is>
      </c>
      <c r="D4" s="2" t="inlineStr">
        <is>
          <t>Credit (₹)</t>
        </is>
      </c>
    </row>
    <row r="5" ht="20" customHeight="1">
      <c r="A5" s="11" t="inlineStr">
        <is>
          <t xml:space="preserve">  NON-CURRENT ASSETS</t>
        </is>
      </c>
      <c r="B5" s="5" t="n"/>
      <c r="C5" s="5" t="n"/>
      <c r="D5" s="5" t="n"/>
    </row>
    <row r="6" ht="18" customHeight="1">
      <c r="A6" s="6" t="inlineStr">
        <is>
          <t>1001</t>
        </is>
      </c>
      <c r="B6" s="7" t="inlineStr">
        <is>
          <t>Land and Building (Cost)</t>
        </is>
      </c>
      <c r="C6" s="8" t="n">
        <v>2500000</v>
      </c>
      <c r="D6" s="8" t="n"/>
    </row>
    <row r="7" ht="18" customHeight="1">
      <c r="A7" s="6" t="inlineStr">
        <is>
          <t>1002</t>
        </is>
      </c>
      <c r="B7" s="7" t="inlineStr">
        <is>
          <t>Acc. Depreciation — Building</t>
        </is>
      </c>
      <c r="C7" s="8" t="n"/>
      <c r="D7" s="8" t="n">
        <v>320000</v>
      </c>
    </row>
    <row r="8" ht="18" customHeight="1">
      <c r="A8" s="6" t="inlineStr">
        <is>
          <t>1003</t>
        </is>
      </c>
      <c r="B8" s="7" t="inlineStr">
        <is>
          <t>Plant and Machinery (Cost)</t>
        </is>
      </c>
      <c r="C8" s="8" t="n">
        <v>1650000</v>
      </c>
      <c r="D8" s="8" t="n"/>
    </row>
    <row r="9" ht="18" customHeight="1">
      <c r="A9" s="6" t="inlineStr">
        <is>
          <t>1004</t>
        </is>
      </c>
      <c r="B9" s="7" t="inlineStr">
        <is>
          <t>Acc. Depreciation — Plant</t>
        </is>
      </c>
      <c r="C9" s="8" t="n"/>
      <c r="D9" s="8" t="n">
        <v>580000</v>
      </c>
    </row>
    <row r="10" ht="18" customHeight="1">
      <c r="A10" s="6" t="inlineStr">
        <is>
          <t>1005</t>
        </is>
      </c>
      <c r="B10" s="7" t="inlineStr">
        <is>
          <t>Office Equipment (Cost)</t>
        </is>
      </c>
      <c r="C10" s="8" t="n">
        <v>165000</v>
      </c>
      <c r="D10" s="8" t="n"/>
    </row>
    <row r="11" ht="18" customHeight="1">
      <c r="A11" s="6" t="inlineStr">
        <is>
          <t>1006</t>
        </is>
      </c>
      <c r="B11" s="7" t="inlineStr">
        <is>
          <t>Acc. Depreciation — Equipment</t>
        </is>
      </c>
      <c r="C11" s="8" t="n"/>
      <c r="D11" s="8" t="n">
        <v>52000</v>
      </c>
    </row>
    <row r="12" ht="18" customHeight="1">
      <c r="A12" s="6" t="inlineStr">
        <is>
          <t>1007</t>
        </is>
      </c>
      <c r="B12" s="7" t="inlineStr">
        <is>
          <t>Right-of-Use Asset — Factory</t>
        </is>
      </c>
      <c r="C12" s="8" t="n">
        <v>380000</v>
      </c>
      <c r="D12" s="8" t="n"/>
    </row>
    <row r="13" ht="18" customHeight="1">
      <c r="A13" s="6" t="inlineStr">
        <is>
          <t>1008</t>
        </is>
      </c>
      <c r="B13" s="7" t="inlineStr">
        <is>
          <t>Acc. Depreciation — ROU Asset</t>
        </is>
      </c>
      <c r="C13" s="8" t="n"/>
      <c r="D13" s="8" t="n">
        <v>68000</v>
      </c>
    </row>
    <row r="14" ht="18" customHeight="1">
      <c r="A14" s="6" t="inlineStr">
        <is>
          <t>1009</t>
        </is>
      </c>
      <c r="B14" s="7" t="inlineStr">
        <is>
          <t>Goodwill</t>
        </is>
      </c>
      <c r="C14" s="8" t="n">
        <v>420000</v>
      </c>
      <c r="D14" s="8" t="n"/>
    </row>
    <row r="15" ht="18" customHeight="1">
      <c r="A15" s="6" t="inlineStr">
        <is>
          <t>1010</t>
        </is>
      </c>
      <c r="B15" s="7" t="inlineStr">
        <is>
          <t>Customer Relationships</t>
        </is>
      </c>
      <c r="C15" s="8" t="n">
        <v>185000</v>
      </c>
      <c r="D15" s="8" t="n"/>
    </row>
    <row r="16" ht="18" customHeight="1">
      <c r="A16" s="6" t="inlineStr">
        <is>
          <t>1011</t>
        </is>
      </c>
      <c r="B16" s="7" t="inlineStr">
        <is>
          <t>Acc. Amortisation — Intangibles</t>
        </is>
      </c>
      <c r="C16" s="8" t="n"/>
      <c r="D16" s="8" t="n">
        <v>48000</v>
      </c>
    </row>
    <row r="17" ht="18" customHeight="1">
      <c r="A17" s="6" t="inlineStr">
        <is>
          <t>1012</t>
        </is>
      </c>
      <c r="B17" s="7" t="inlineStr">
        <is>
          <t>Investment in Associates</t>
        </is>
      </c>
      <c r="C17" s="8" t="n">
        <v>245000</v>
      </c>
      <c r="D17" s="8" t="n"/>
    </row>
    <row r="18" ht="18" customHeight="1">
      <c r="A18" s="6" t="inlineStr">
        <is>
          <t>1013</t>
        </is>
      </c>
      <c r="B18" s="7" t="inlineStr">
        <is>
          <t>Deferred Tax Asset</t>
        </is>
      </c>
      <c r="C18" s="8" t="n">
        <v>38000</v>
      </c>
      <c r="D18" s="8" t="n"/>
    </row>
    <row r="19" ht="20" customHeight="1">
      <c r="A19" s="11" t="inlineStr">
        <is>
          <t xml:space="preserve">  CURRENT ASSETS</t>
        </is>
      </c>
      <c r="B19" s="5" t="n"/>
      <c r="C19" s="5" t="n"/>
      <c r="D19" s="5" t="n"/>
    </row>
    <row r="20" ht="18" customHeight="1">
      <c r="A20" s="6" t="inlineStr">
        <is>
          <t>2001</t>
        </is>
      </c>
      <c r="B20" s="7" t="inlineStr">
        <is>
          <t>Raw Material Inventory</t>
        </is>
      </c>
      <c r="C20" s="8" t="n">
        <v>295000</v>
      </c>
      <c r="D20" s="8" t="n"/>
    </row>
    <row r="21" ht="18" customHeight="1">
      <c r="A21" s="6" t="inlineStr">
        <is>
          <t>2002</t>
        </is>
      </c>
      <c r="B21" s="7" t="inlineStr">
        <is>
          <t>Work in Progress</t>
        </is>
      </c>
      <c r="C21" s="8" t="n">
        <v>128000</v>
      </c>
      <c r="D21" s="8" t="n"/>
    </row>
    <row r="22" ht="18" customHeight="1">
      <c r="A22" s="6" t="inlineStr">
        <is>
          <t>2003</t>
        </is>
      </c>
      <c r="B22" s="7" t="inlineStr">
        <is>
          <t>Finished Goods</t>
        </is>
      </c>
      <c r="C22" s="8" t="n">
        <v>198000</v>
      </c>
      <c r="D22" s="8" t="n"/>
    </row>
    <row r="23" ht="18" customHeight="1">
      <c r="A23" s="6" t="inlineStr">
        <is>
          <t>2004</t>
        </is>
      </c>
      <c r="B23" s="7" t="inlineStr">
        <is>
          <t>Trade Receivables</t>
        </is>
      </c>
      <c r="C23" s="8" t="n">
        <v>720000</v>
      </c>
      <c r="D23" s="8" t="n"/>
    </row>
    <row r="24" ht="18" customHeight="1">
      <c r="A24" s="6" t="inlineStr">
        <is>
          <t>2005</t>
        </is>
      </c>
      <c r="B24" s="7" t="inlineStr">
        <is>
          <t>Loss Allowance — Trade Receivables</t>
        </is>
      </c>
      <c r="C24" s="8" t="n"/>
      <c r="D24" s="8" t="n">
        <v>32000</v>
      </c>
    </row>
    <row r="25" ht="18" customHeight="1">
      <c r="A25" s="6" t="inlineStr">
        <is>
          <t>2006</t>
        </is>
      </c>
      <c r="B25" s="7" t="inlineStr">
        <is>
          <t>Contract Assets</t>
        </is>
      </c>
      <c r="C25" s="8" t="n">
        <v>82000</v>
      </c>
      <c r="D25" s="8" t="n"/>
    </row>
    <row r="26" ht="18" customHeight="1">
      <c r="A26" s="6" t="inlineStr">
        <is>
          <t>2007</t>
        </is>
      </c>
      <c r="B26" s="7" t="inlineStr">
        <is>
          <t>Prepayments</t>
        </is>
      </c>
      <c r="C26" s="8" t="n">
        <v>38000</v>
      </c>
      <c r="D26" s="8" t="n"/>
    </row>
    <row r="27" ht="18" customHeight="1">
      <c r="A27" s="6" t="inlineStr">
        <is>
          <t>2008</t>
        </is>
      </c>
      <c r="B27" s="7" t="inlineStr">
        <is>
          <t>Other Receivables</t>
        </is>
      </c>
      <c r="C27" s="8" t="n">
        <v>22000</v>
      </c>
      <c r="D27" s="8" t="n"/>
    </row>
    <row r="28" ht="18" customHeight="1">
      <c r="A28" s="6" t="inlineStr">
        <is>
          <t>2009</t>
        </is>
      </c>
      <c r="B28" s="7" t="inlineStr">
        <is>
          <t>Cash and Cash Equivalents</t>
        </is>
      </c>
      <c r="C28" s="8" t="n">
        <v>162000</v>
      </c>
      <c r="D28" s="8" t="n"/>
    </row>
    <row r="29" ht="18" customHeight="1">
      <c r="A29" s="6" t="inlineStr">
        <is>
          <t>2010</t>
        </is>
      </c>
      <c r="B29" s="7" t="inlineStr">
        <is>
          <t>Short-term Deposits</t>
        </is>
      </c>
      <c r="C29" s="8" t="n">
        <v>68000</v>
      </c>
      <c r="D29" s="8" t="n"/>
    </row>
    <row r="30" ht="20" customHeight="1">
      <c r="A30" s="11" t="inlineStr">
        <is>
          <t xml:space="preserve">  EQUITY</t>
        </is>
      </c>
      <c r="B30" s="5" t="n"/>
      <c r="C30" s="5" t="n"/>
      <c r="D30" s="5" t="n"/>
    </row>
    <row r="31" ht="18" customHeight="1">
      <c r="A31" s="6" t="inlineStr">
        <is>
          <t>3001</t>
        </is>
      </c>
      <c r="B31" s="7" t="inlineStr">
        <is>
          <t>Share Capital</t>
        </is>
      </c>
      <c r="C31" s="8" t="n"/>
      <c r="D31" s="8" t="n">
        <v>500000</v>
      </c>
    </row>
    <row r="32" ht="18" customHeight="1">
      <c r="A32" s="6" t="inlineStr">
        <is>
          <t>3002</t>
        </is>
      </c>
      <c r="B32" s="7" t="inlineStr">
        <is>
          <t>Share Premium</t>
        </is>
      </c>
      <c r="C32" s="8" t="n"/>
      <c r="D32" s="8" t="n">
        <v>320000</v>
      </c>
    </row>
    <row r="33" ht="18" customHeight="1">
      <c r="A33" s="6" t="inlineStr">
        <is>
          <t>3003</t>
        </is>
      </c>
      <c r="B33" s="7" t="inlineStr">
        <is>
          <t>Retained Earnings Opening</t>
        </is>
      </c>
      <c r="C33" s="8" t="n"/>
      <c r="D33" s="8" t="n">
        <v>842000</v>
      </c>
    </row>
    <row r="34" ht="18" customHeight="1">
      <c r="A34" s="6" t="inlineStr">
        <is>
          <t>3004</t>
        </is>
      </c>
      <c r="B34" s="7" t="inlineStr">
        <is>
          <t>OCI Reserve</t>
        </is>
      </c>
      <c r="C34" s="8" t="n"/>
      <c r="D34" s="8" t="n">
        <v>35000</v>
      </c>
    </row>
    <row r="35" ht="18" customHeight="1">
      <c r="A35" s="6" t="inlineStr">
        <is>
          <t>3005</t>
        </is>
      </c>
      <c r="B35" s="7" t="inlineStr">
        <is>
          <t>Foreign Currency Translation Reserve</t>
        </is>
      </c>
      <c r="C35" s="8" t="n"/>
      <c r="D35" s="8" t="n">
        <v>15000</v>
      </c>
    </row>
    <row r="36" ht="20" customHeight="1">
      <c r="A36" s="11" t="inlineStr">
        <is>
          <t xml:space="preserve">  NON-CURRENT LIABILITIES</t>
        </is>
      </c>
      <c r="B36" s="5" t="n"/>
      <c r="C36" s="5" t="n"/>
      <c r="D36" s="5" t="n"/>
    </row>
    <row r="37" ht="18" customHeight="1">
      <c r="A37" s="6" t="inlineStr">
        <is>
          <t>4001</t>
        </is>
      </c>
      <c r="B37" s="7" t="inlineStr">
        <is>
          <t>Term Loan — Non-Current</t>
        </is>
      </c>
      <c r="C37" s="8" t="n"/>
      <c r="D37" s="8" t="n">
        <v>650000</v>
      </c>
    </row>
    <row r="38" ht="18" customHeight="1">
      <c r="A38" s="6" t="inlineStr">
        <is>
          <t>4002</t>
        </is>
      </c>
      <c r="B38" s="7" t="inlineStr">
        <is>
          <t>Lease Liability — Non-Current</t>
        </is>
      </c>
      <c r="C38" s="8" t="n"/>
      <c r="D38" s="8" t="n">
        <v>320000</v>
      </c>
    </row>
    <row r="39" ht="18" customHeight="1">
      <c r="A39" s="6" t="inlineStr">
        <is>
          <t>4003</t>
        </is>
      </c>
      <c r="B39" s="7" t="inlineStr">
        <is>
          <t>Deferred Tax Liability</t>
        </is>
      </c>
      <c r="C39" s="8" t="n"/>
      <c r="D39" s="8" t="n">
        <v>98000</v>
      </c>
    </row>
    <row r="40" ht="18" customHeight="1">
      <c r="A40" s="6" t="inlineStr">
        <is>
          <t>4004</t>
        </is>
      </c>
      <c r="B40" s="7" t="inlineStr">
        <is>
          <t>Employee Benefit Obligation</t>
        </is>
      </c>
      <c r="C40" s="8" t="n"/>
      <c r="D40" s="8" t="n">
        <v>58000</v>
      </c>
    </row>
    <row r="41" ht="18" customHeight="1">
      <c r="A41" s="6" t="inlineStr">
        <is>
          <t>4005</t>
        </is>
      </c>
      <c r="B41" s="7" t="inlineStr">
        <is>
          <t>Provision for Decommissioning</t>
        </is>
      </c>
      <c r="C41" s="8" t="n"/>
      <c r="D41" s="8" t="n">
        <v>28000</v>
      </c>
    </row>
    <row r="42" ht="20" customHeight="1">
      <c r="A42" s="11" t="inlineStr">
        <is>
          <t xml:space="preserve">  CURRENT LIABILITIES</t>
        </is>
      </c>
      <c r="B42" s="5" t="n"/>
      <c r="C42" s="5" t="n"/>
      <c r="D42" s="5" t="n"/>
    </row>
    <row r="43" ht="18" customHeight="1">
      <c r="A43" s="6" t="inlineStr">
        <is>
          <t>5001</t>
        </is>
      </c>
      <c r="B43" s="7" t="inlineStr">
        <is>
          <t>Trade Payables</t>
        </is>
      </c>
      <c r="C43" s="8" t="n"/>
      <c r="D43" s="8" t="n">
        <v>385000</v>
      </c>
    </row>
    <row r="44" ht="18" customHeight="1">
      <c r="A44" s="6" t="inlineStr">
        <is>
          <t>5002</t>
        </is>
      </c>
      <c r="B44" s="7" t="inlineStr">
        <is>
          <t>Term Loan — Current</t>
        </is>
      </c>
      <c r="C44" s="8" t="n"/>
      <c r="D44" s="8" t="n">
        <v>180000</v>
      </c>
    </row>
    <row r="45" ht="18" customHeight="1">
      <c r="A45" s="6" t="inlineStr">
        <is>
          <t>5003</t>
        </is>
      </c>
      <c r="B45" s="7" t="inlineStr">
        <is>
          <t>Lease Liability — Current</t>
        </is>
      </c>
      <c r="C45" s="8" t="n"/>
      <c r="D45" s="8" t="n">
        <v>85000</v>
      </c>
    </row>
    <row r="46" ht="18" customHeight="1">
      <c r="A46" s="6" t="inlineStr">
        <is>
          <t>5004</t>
        </is>
      </c>
      <c r="B46" s="7" t="inlineStr">
        <is>
          <t>Contract Liabilities</t>
        </is>
      </c>
      <c r="C46" s="8" t="n"/>
      <c r="D46" s="8" t="n">
        <v>52000</v>
      </c>
    </row>
    <row r="47" ht="18" customHeight="1">
      <c r="A47" s="6" t="inlineStr">
        <is>
          <t>5005</t>
        </is>
      </c>
      <c r="B47" s="7" t="inlineStr">
        <is>
          <t>Income Tax Payable</t>
        </is>
      </c>
      <c r="C47" s="8" t="n"/>
      <c r="D47" s="8" t="n">
        <v>42000</v>
      </c>
    </row>
    <row r="48" ht="18" customHeight="1">
      <c r="A48" s="6" t="inlineStr">
        <is>
          <t>5006</t>
        </is>
      </c>
      <c r="B48" s="7" t="inlineStr">
        <is>
          <t>Accrued Expenses</t>
        </is>
      </c>
      <c r="C48" s="8" t="n"/>
      <c r="D48" s="8" t="n">
        <v>98000</v>
      </c>
    </row>
    <row r="49" ht="20" customHeight="1">
      <c r="A49" s="11" t="inlineStr">
        <is>
          <t xml:space="preserve">  REVENUE</t>
        </is>
      </c>
      <c r="B49" s="5" t="n"/>
      <c r="C49" s="5" t="n"/>
      <c r="D49" s="5" t="n"/>
    </row>
    <row r="50" ht="18" customHeight="1">
      <c r="A50" s="6" t="inlineStr">
        <is>
          <t>6001</t>
        </is>
      </c>
      <c r="B50" s="7" t="inlineStr">
        <is>
          <t>Revenue from Contracts — Goods</t>
        </is>
      </c>
      <c r="C50" s="8" t="n"/>
      <c r="D50" s="8" t="n">
        <v>2850000</v>
      </c>
    </row>
    <row r="51" ht="18" customHeight="1">
      <c r="A51" s="6" t="inlineStr">
        <is>
          <t>6002</t>
        </is>
      </c>
      <c r="B51" s="7" t="inlineStr">
        <is>
          <t>Revenue from Contracts — Services</t>
        </is>
      </c>
      <c r="C51" s="8" t="n"/>
      <c r="D51" s="8" t="n">
        <v>420000</v>
      </c>
    </row>
    <row r="52" ht="18" customHeight="1">
      <c r="A52" s="6" t="inlineStr">
        <is>
          <t>6003</t>
        </is>
      </c>
      <c r="B52" s="7" t="inlineStr">
        <is>
          <t>Other Operating Income</t>
        </is>
      </c>
      <c r="C52" s="8" t="n"/>
      <c r="D52" s="8" t="n">
        <v>65000</v>
      </c>
    </row>
    <row r="53" ht="18" customHeight="1">
      <c r="A53" s="6" t="inlineStr">
        <is>
          <t>6004</t>
        </is>
      </c>
      <c r="B53" s="7" t="inlineStr">
        <is>
          <t>Interest Income</t>
        </is>
      </c>
      <c r="C53" s="8" t="n"/>
      <c r="D53" s="8" t="n">
        <v>22000</v>
      </c>
    </row>
    <row r="54" ht="18" customHeight="1">
      <c r="A54" s="6" t="inlineStr">
        <is>
          <t>6005</t>
        </is>
      </c>
      <c r="B54" s="7" t="inlineStr">
        <is>
          <t>Share of Profit of Associates</t>
        </is>
      </c>
      <c r="C54" s="8" t="n"/>
      <c r="D54" s="8" t="n">
        <v>28000</v>
      </c>
    </row>
    <row r="55" ht="18" customHeight="1">
      <c r="A55" s="6" t="inlineStr">
        <is>
          <t>6006</t>
        </is>
      </c>
      <c r="B55" s="7" t="inlineStr">
        <is>
          <t>Gain on Disposal of PPE</t>
        </is>
      </c>
      <c r="C55" s="8" t="n"/>
      <c r="D55" s="8" t="n">
        <v>12000</v>
      </c>
    </row>
    <row r="56" ht="20" customHeight="1">
      <c r="A56" s="11" t="inlineStr">
        <is>
          <t xml:space="preserve">  EXPENSES</t>
        </is>
      </c>
      <c r="B56" s="5" t="n"/>
      <c r="C56" s="5" t="n"/>
      <c r="D56" s="5" t="n"/>
    </row>
    <row r="57" ht="18" customHeight="1">
      <c r="A57" s="6" t="inlineStr">
        <is>
          <t>7001</t>
        </is>
      </c>
      <c r="B57" s="7" t="inlineStr">
        <is>
          <t>Cost of Raw Materials Consumed</t>
        </is>
      </c>
      <c r="C57" s="8" t="n">
        <v>1285000</v>
      </c>
      <c r="D57" s="8" t="n"/>
    </row>
    <row r="58" ht="18" customHeight="1">
      <c r="A58" s="6" t="inlineStr">
        <is>
          <t>7002</t>
        </is>
      </c>
      <c r="B58" s="7" t="inlineStr">
        <is>
          <t>Changes in Inventories</t>
        </is>
      </c>
      <c r="C58" s="8" t="n">
        <v>38000</v>
      </c>
      <c r="D58" s="8" t="n"/>
    </row>
    <row r="59" ht="18" customHeight="1">
      <c r="A59" s="6" t="inlineStr">
        <is>
          <t>7003</t>
        </is>
      </c>
      <c r="B59" s="7" t="inlineStr">
        <is>
          <t>Employee Benefits Expense</t>
        </is>
      </c>
      <c r="C59" s="8" t="n">
        <v>485000</v>
      </c>
      <c r="D59" s="8" t="n"/>
    </row>
    <row r="60" ht="18" customHeight="1">
      <c r="A60" s="6" t="inlineStr">
        <is>
          <t>7004</t>
        </is>
      </c>
      <c r="B60" s="7" t="inlineStr">
        <is>
          <t>Depreciation — PPE</t>
        </is>
      </c>
      <c r="C60" s="8" t="n">
        <v>148000</v>
      </c>
      <c r="D60" s="8" t="n"/>
    </row>
    <row r="61" ht="18" customHeight="1">
      <c r="A61" s="6" t="inlineStr">
        <is>
          <t>7005</t>
        </is>
      </c>
      <c r="B61" s="7" t="inlineStr">
        <is>
          <t>Depreciation — ROU Asset</t>
        </is>
      </c>
      <c r="C61" s="8" t="n">
        <v>68000</v>
      </c>
      <c r="D61" s="8" t="n"/>
    </row>
    <row r="62" ht="18" customHeight="1">
      <c r="A62" s="6" t="inlineStr">
        <is>
          <t>7006</t>
        </is>
      </c>
      <c r="B62" s="7" t="inlineStr">
        <is>
          <t>Amortisation — Intangibles</t>
        </is>
      </c>
      <c r="C62" s="8" t="n">
        <v>62000</v>
      </c>
      <c r="D62" s="8" t="n"/>
    </row>
    <row r="63" ht="18" customHeight="1">
      <c r="A63" s="6" t="inlineStr">
        <is>
          <t>7007</t>
        </is>
      </c>
      <c r="B63" s="7" t="inlineStr">
        <is>
          <t>Finance Costs — Loans</t>
        </is>
      </c>
      <c r="C63" s="8" t="n">
        <v>52000</v>
      </c>
      <c r="D63" s="8" t="n"/>
    </row>
    <row r="64" ht="18" customHeight="1">
      <c r="A64" s="6" t="inlineStr">
        <is>
          <t>7008</t>
        </is>
      </c>
      <c r="B64" s="7" t="inlineStr">
        <is>
          <t>Finance Costs — Leases</t>
        </is>
      </c>
      <c r="C64" s="8" t="n">
        <v>28500</v>
      </c>
      <c r="D64" s="8" t="n"/>
    </row>
    <row r="65" ht="18" customHeight="1">
      <c r="A65" s="6" t="inlineStr">
        <is>
          <t>7009</t>
        </is>
      </c>
      <c r="B65" s="7" t="inlineStr">
        <is>
          <t>Selling and Distribution Expense</t>
        </is>
      </c>
      <c r="C65" s="8" t="n">
        <v>185000</v>
      </c>
      <c r="D65" s="8" t="n"/>
    </row>
    <row r="66" ht="18" customHeight="1">
      <c r="A66" s="6" t="inlineStr">
        <is>
          <t>7010</t>
        </is>
      </c>
      <c r="B66" s="7" t="inlineStr">
        <is>
          <t>General and Administrative Expense</t>
        </is>
      </c>
      <c r="C66" s="8" t="n">
        <v>142000</v>
      </c>
      <c r="D66" s="8" t="n"/>
    </row>
    <row r="67" ht="18" customHeight="1">
      <c r="A67" s="6" t="inlineStr">
        <is>
          <t>7011</t>
        </is>
      </c>
      <c r="B67" s="7" t="inlineStr">
        <is>
          <t>Research and Development Expense</t>
        </is>
      </c>
      <c r="C67" s="8" t="n">
        <v>38500</v>
      </c>
      <c r="D67" s="8" t="n"/>
    </row>
    <row r="68" ht="18" customHeight="1">
      <c r="A68" s="6" t="inlineStr">
        <is>
          <t>7012</t>
        </is>
      </c>
      <c r="B68" s="7" t="inlineStr">
        <is>
          <t>ECL Charge — Trade Receivables</t>
        </is>
      </c>
      <c r="C68" s="8" t="n">
        <v>12500</v>
      </c>
      <c r="D68" s="8" t="n"/>
    </row>
    <row r="69" ht="18" customHeight="1">
      <c r="A69" s="6" t="inlineStr">
        <is>
          <t>7013</t>
        </is>
      </c>
      <c r="B69" s="7" t="inlineStr">
        <is>
          <t>Foreign Exchange Loss</t>
        </is>
      </c>
      <c r="C69" s="8" t="n">
        <v>12000</v>
      </c>
      <c r="D69" s="8" t="n"/>
    </row>
    <row r="70" ht="18" customHeight="1">
      <c r="A70" s="6" t="inlineStr">
        <is>
          <t>7014</t>
        </is>
      </c>
      <c r="B70" s="7" t="inlineStr">
        <is>
          <t>Impairment Loss — Goodwill</t>
        </is>
      </c>
      <c r="C70" s="8" t="n"/>
      <c r="D70" s="8" t="n"/>
    </row>
    <row r="71" ht="20" customHeight="1">
      <c r="A71" s="11" t="inlineStr">
        <is>
          <t xml:space="preserve">  TAX</t>
        </is>
      </c>
      <c r="B71" s="5" t="n"/>
      <c r="C71" s="5" t="n"/>
      <c r="D71" s="5" t="n"/>
    </row>
    <row r="72" ht="18" customHeight="1">
      <c r="A72" s="6" t="inlineStr">
        <is>
          <t>8001</t>
        </is>
      </c>
      <c r="B72" s="7" t="inlineStr">
        <is>
          <t>Income Tax Expense — Current</t>
        </is>
      </c>
      <c r="C72" s="8" t="n">
        <v>95000</v>
      </c>
      <c r="D72" s="8" t="n"/>
    </row>
    <row r="73" ht="18" customHeight="1">
      <c r="A73" s="6" t="inlineStr">
        <is>
          <t>8002</t>
        </is>
      </c>
      <c r="B73" s="7" t="inlineStr">
        <is>
          <t>Income Tax Expense — Deferred</t>
        </is>
      </c>
      <c r="C73" s="8" t="n">
        <v>8500</v>
      </c>
      <c r="D73" s="8" t="n"/>
    </row>
    <row r="74" ht="20" customHeight="1">
      <c r="A74" s="11" t="inlineStr">
        <is>
          <t xml:space="preserve">  OTHER COMPREHENSIVE INCOME</t>
        </is>
      </c>
      <c r="B74" s="5" t="n"/>
      <c r="C74" s="5" t="n"/>
      <c r="D74" s="5" t="n"/>
    </row>
    <row r="75" ht="18" customHeight="1">
      <c r="A75" s="6" t="inlineStr">
        <is>
          <t>9001</t>
        </is>
      </c>
      <c r="B75" s="7" t="inlineStr">
        <is>
          <t>Remeasurement — Defined Benefit Plans</t>
        </is>
      </c>
      <c r="C75" s="8" t="n">
        <v>11000</v>
      </c>
      <c r="D75" s="8" t="n"/>
    </row>
    <row r="76" ht="18" customHeight="1">
      <c r="A76" s="6" t="inlineStr">
        <is>
          <t>9002</t>
        </is>
      </c>
      <c r="B76" s="7" t="inlineStr">
        <is>
          <t>Fair Value Change — Equity Instruments</t>
        </is>
      </c>
      <c r="C76" s="8" t="n"/>
      <c r="D76" s="8" t="n">
        <v>7500</v>
      </c>
    </row>
    <row r="77" ht="18" customHeight="1">
      <c r="A77" s="6" t="inlineStr">
        <is>
          <t>9003</t>
        </is>
      </c>
      <c r="B77" s="7" t="inlineStr">
        <is>
          <t>Foreign Currency Translation Differences</t>
        </is>
      </c>
      <c r="C77" s="8" t="n"/>
      <c r="D77" s="8" t="n">
        <v>15000</v>
      </c>
    </row>
    <row r="78" ht="22" customHeight="1">
      <c r="A78" s="12" t="inlineStr"/>
      <c r="B78" s="12" t="inlineStr">
        <is>
          <t>TOTAL</t>
        </is>
      </c>
      <c r="C78" s="13">
        <f>SUM(C5:C77)</f>
        <v/>
      </c>
      <c r="D78" s="13">
        <f>SUM(D5:D77)</f>
        <v/>
      </c>
    </row>
  </sheetData>
  <mergeCells count="11">
    <mergeCell ref="A1:D1"/>
    <mergeCell ref="A5:D5"/>
    <mergeCell ref="A56:D56"/>
    <mergeCell ref="A49:D49"/>
    <mergeCell ref="A74:D74"/>
    <mergeCell ref="A30:D30"/>
    <mergeCell ref="A19:D19"/>
    <mergeCell ref="A2:D2"/>
    <mergeCell ref="A71:D71"/>
    <mergeCell ref="A42:D42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15" customWidth="1" min="4" max="4"/>
    <col width="15" customWidth="1" min="5" max="5"/>
    <col width="12" customWidth="1" min="6" max="6"/>
    <col width="18" customWidth="1" min="7" max="7"/>
  </cols>
  <sheetData>
    <row r="1" ht="28" customHeight="1">
      <c r="A1" s="14" t="inlineStr">
        <is>
          <t>EXPECTED VARIANCE OUTPUT — What TB Variance Analysis Should Show</t>
        </is>
      </c>
    </row>
    <row r="2" ht="18" customHeight="1">
      <c r="A2" s="2" t="inlineStr">
        <is>
          <t>Upload Current_TB_FY2026 + Prior_TB_FY2025 with Materiality ₹50,000 and 10%</t>
        </is>
      </c>
    </row>
    <row r="3" ht="8" customHeight="1"/>
    <row r="4" ht="22" customHeight="1">
      <c r="A4" s="3" t="inlineStr">
        <is>
          <t>Code</t>
        </is>
      </c>
      <c r="B4" s="3" t="inlineStr">
        <is>
          <t>Account Name</t>
        </is>
      </c>
      <c r="C4" s="3" t="inlineStr">
        <is>
          <t>FY2026 (₹)</t>
        </is>
      </c>
      <c r="D4" s="3" t="inlineStr">
        <is>
          <t>FY2025 (₹)</t>
        </is>
      </c>
      <c r="E4" s="3" t="inlineStr">
        <is>
          <t>Change (₹)</t>
        </is>
      </c>
      <c r="F4" s="3" t="inlineStr">
        <is>
          <t>Change %</t>
        </is>
      </c>
      <c r="G4" s="3" t="inlineStr">
        <is>
          <t>Flag</t>
        </is>
      </c>
    </row>
    <row r="5" ht="18" customHeight="1">
      <c r="A5" s="15" t="inlineStr">
        <is>
          <t>6001</t>
        </is>
      </c>
      <c r="B5" s="16" t="inlineStr">
        <is>
          <t>Revenue — Goods</t>
        </is>
      </c>
      <c r="C5" s="17" t="n">
        <v>3250000</v>
      </c>
      <c r="D5" s="17" t="n">
        <v>2850000</v>
      </c>
      <c r="E5" s="17" t="n">
        <v>400000</v>
      </c>
      <c r="F5" s="18" t="n">
        <v>14</v>
      </c>
      <c r="G5" s="19" t="inlineStr">
        <is>
          <t>🔴 MATERIAL</t>
        </is>
      </c>
    </row>
    <row r="6" ht="18" customHeight="1">
      <c r="A6" s="15" t="inlineStr">
        <is>
          <t>2004</t>
        </is>
      </c>
      <c r="B6" s="16" t="inlineStr">
        <is>
          <t>Trade Receivables</t>
        </is>
      </c>
      <c r="C6" s="17" t="n">
        <v>920000</v>
      </c>
      <c r="D6" s="17" t="n">
        <v>720000</v>
      </c>
      <c r="E6" s="17" t="n">
        <v>200000</v>
      </c>
      <c r="F6" s="18" t="n">
        <v>27.8</v>
      </c>
      <c r="G6" s="19" t="inlineStr">
        <is>
          <t>🔴 MATERIAL</t>
        </is>
      </c>
    </row>
    <row r="7" ht="18" customHeight="1">
      <c r="A7" s="15" t="inlineStr">
        <is>
          <t>1003</t>
        </is>
      </c>
      <c r="B7" s="16" t="inlineStr">
        <is>
          <t>Plant and Machinery</t>
        </is>
      </c>
      <c r="C7" s="17" t="n">
        <v>1850000</v>
      </c>
      <c r="D7" s="17" t="n">
        <v>1650000</v>
      </c>
      <c r="E7" s="17" t="n">
        <v>200000</v>
      </c>
      <c r="F7" s="18" t="n">
        <v>12.1</v>
      </c>
      <c r="G7" s="19" t="inlineStr">
        <is>
          <t>🔴 MATERIAL</t>
        </is>
      </c>
    </row>
    <row r="8" ht="18" customHeight="1">
      <c r="A8" s="15" t="inlineStr">
        <is>
          <t>7001</t>
        </is>
      </c>
      <c r="B8" s="16" t="inlineStr">
        <is>
          <t>Cost of Raw Materials</t>
        </is>
      </c>
      <c r="C8" s="17" t="n">
        <v>1420000</v>
      </c>
      <c r="D8" s="17" t="n">
        <v>1285000</v>
      </c>
      <c r="E8" s="17" t="n">
        <v>135000</v>
      </c>
      <c r="F8" s="18" t="n">
        <v>10.5</v>
      </c>
      <c r="G8" s="19" t="inlineStr">
        <is>
          <t>🔴 MATERIAL</t>
        </is>
      </c>
    </row>
    <row r="9" ht="18" customHeight="1">
      <c r="A9" s="15" t="inlineStr">
        <is>
          <t>5001</t>
        </is>
      </c>
      <c r="B9" s="16" t="inlineStr">
        <is>
          <t>Trade Payables</t>
        </is>
      </c>
      <c r="C9" s="17" t="n">
        <v>485000</v>
      </c>
      <c r="D9" s="17" t="n">
        <v>385000</v>
      </c>
      <c r="E9" s="17" t="n">
        <v>100000</v>
      </c>
      <c r="F9" s="18" t="n">
        <v>26</v>
      </c>
      <c r="G9" s="19" t="inlineStr">
        <is>
          <t>🔴 MATERIAL</t>
        </is>
      </c>
    </row>
    <row r="10" ht="18" customHeight="1">
      <c r="A10" s="15" t="inlineStr">
        <is>
          <t>2001</t>
        </is>
      </c>
      <c r="B10" s="16" t="inlineStr">
        <is>
          <t>Raw Material Inventory</t>
        </is>
      </c>
      <c r="C10" s="17" t="n">
        <v>380000</v>
      </c>
      <c r="D10" s="17" t="n">
        <v>295000</v>
      </c>
      <c r="E10" s="17" t="n">
        <v>85000</v>
      </c>
      <c r="F10" s="18" t="n">
        <v>28.8</v>
      </c>
      <c r="G10" s="19" t="inlineStr">
        <is>
          <t>🔴 MATERIAL</t>
        </is>
      </c>
    </row>
    <row r="11" ht="18" customHeight="1">
      <c r="A11" s="15" t="inlineStr">
        <is>
          <t>6002</t>
        </is>
      </c>
      <c r="B11" s="16" t="inlineStr">
        <is>
          <t>Revenue — Services</t>
        </is>
      </c>
      <c r="C11" s="17" t="n">
        <v>485000</v>
      </c>
      <c r="D11" s="17" t="n">
        <v>420000</v>
      </c>
      <c r="E11" s="17" t="n">
        <v>65000</v>
      </c>
      <c r="F11" s="18" t="n">
        <v>15.5</v>
      </c>
      <c r="G11" s="19" t="inlineStr">
        <is>
          <t>🔴 MATERIAL</t>
        </is>
      </c>
    </row>
    <row r="12" ht="18" customHeight="1">
      <c r="A12" s="15" t="inlineStr">
        <is>
          <t>4001</t>
        </is>
      </c>
      <c r="B12" s="16" t="inlineStr">
        <is>
          <t>Term Loan Non-Current</t>
        </is>
      </c>
      <c r="C12" s="17" t="n">
        <v>580000</v>
      </c>
      <c r="D12" s="17" t="n">
        <v>650000</v>
      </c>
      <c r="E12" s="17" t="n">
        <v>-70000</v>
      </c>
      <c r="F12" s="18" t="n">
        <v>-10.8</v>
      </c>
      <c r="G12" s="19" t="inlineStr">
        <is>
          <t>🔴 MATERIAL</t>
        </is>
      </c>
    </row>
    <row r="13" ht="18" customHeight="1">
      <c r="A13" s="15" t="inlineStr">
        <is>
          <t>5006</t>
        </is>
      </c>
      <c r="B13" s="16" t="inlineStr">
        <is>
          <t>Accrued Expenses</t>
        </is>
      </c>
      <c r="C13" s="17" t="n">
        <v>142000</v>
      </c>
      <c r="D13" s="17" t="n">
        <v>98000</v>
      </c>
      <c r="E13" s="17" t="n">
        <v>44000</v>
      </c>
      <c r="F13" s="18" t="n">
        <v>44.9</v>
      </c>
      <c r="G13" s="19" t="inlineStr">
        <is>
          <t>🔴 MATERIAL</t>
        </is>
      </c>
    </row>
    <row r="14" ht="18" customHeight="1">
      <c r="A14" s="20" t="inlineStr">
        <is>
          <t>7003</t>
        </is>
      </c>
      <c r="B14" s="21" t="inlineStr">
        <is>
          <t>Employee Benefits</t>
        </is>
      </c>
      <c r="C14" s="22" t="n">
        <v>520000</v>
      </c>
      <c r="D14" s="22" t="n">
        <v>485000</v>
      </c>
      <c r="E14" s="22" t="n">
        <v>35000</v>
      </c>
      <c r="F14" s="23" t="n">
        <v>7.2</v>
      </c>
      <c r="G14" s="24" t="inlineStr">
        <is>
          <t>🟡 WATCH</t>
        </is>
      </c>
    </row>
    <row r="15" ht="18" customHeight="1">
      <c r="A15" s="15" t="inlineStr">
        <is>
          <t>2009</t>
        </is>
      </c>
      <c r="B15" s="16" t="inlineStr">
        <is>
          <t>Cash and Equivalents</t>
        </is>
      </c>
      <c r="C15" s="17" t="n">
        <v>295000</v>
      </c>
      <c r="D15" s="17" t="n">
        <v>230000</v>
      </c>
      <c r="E15" s="17" t="n">
        <v>65000</v>
      </c>
      <c r="F15" s="18" t="n">
        <v>28.3</v>
      </c>
      <c r="G15" s="19" t="inlineStr">
        <is>
          <t>🔴 MATERIAL</t>
        </is>
      </c>
    </row>
    <row r="16" ht="18" customHeight="1">
      <c r="A16" s="15" t="inlineStr">
        <is>
          <t>3003</t>
        </is>
      </c>
      <c r="B16" s="16" t="inlineStr">
        <is>
          <t>Retained Earnings</t>
        </is>
      </c>
      <c r="C16" s="17" t="n">
        <v>985000</v>
      </c>
      <c r="D16" s="17" t="n">
        <v>842000</v>
      </c>
      <c r="E16" s="17" t="n">
        <v>143000</v>
      </c>
      <c r="F16" s="18" t="n">
        <v>17</v>
      </c>
      <c r="G16" s="19" t="inlineStr">
        <is>
          <t>🔴 MATERIAL</t>
        </is>
      </c>
    </row>
    <row r="17" ht="18" customHeight="1">
      <c r="A17" s="25" t="inlineStr">
        <is>
          <t>7009</t>
        </is>
      </c>
      <c r="B17" s="7" t="inlineStr">
        <is>
          <t>Selling and Distribution</t>
        </is>
      </c>
      <c r="C17" s="8" t="n">
        <v>195000</v>
      </c>
      <c r="D17" s="8" t="n">
        <v>185000</v>
      </c>
      <c r="E17" s="8" t="n">
        <v>10000</v>
      </c>
      <c r="F17" s="26" t="n">
        <v>5.4</v>
      </c>
      <c r="G17" s="27" t="inlineStr">
        <is>
          <t>🟢 LOW</t>
        </is>
      </c>
    </row>
    <row r="18" ht="18" customHeight="1">
      <c r="A18" s="20" t="inlineStr">
        <is>
          <t>1007</t>
        </is>
      </c>
      <c r="B18" s="21" t="inlineStr">
        <is>
          <t>Right-of-Use Asset</t>
        </is>
      </c>
      <c r="C18" s="22" t="n">
        <v>420000</v>
      </c>
      <c r="D18" s="22" t="n">
        <v>380000</v>
      </c>
      <c r="E18" s="22" t="n">
        <v>40000</v>
      </c>
      <c r="F18" s="23" t="n">
        <v>10.5</v>
      </c>
      <c r="G18" s="24" t="inlineStr">
        <is>
          <t>🟡 WATCH</t>
        </is>
      </c>
    </row>
    <row r="19" ht="18" customHeight="1">
      <c r="A19" s="20" t="inlineStr">
        <is>
          <t>2006</t>
        </is>
      </c>
      <c r="B19" s="21" t="inlineStr">
        <is>
          <t>Contract Assets</t>
        </is>
      </c>
      <c r="C19" s="22" t="n">
        <v>105000</v>
      </c>
      <c r="D19" s="22" t="n">
        <v>82000</v>
      </c>
      <c r="E19" s="22" t="n">
        <v>23000</v>
      </c>
      <c r="F19" s="23" t="n">
        <v>28</v>
      </c>
      <c r="G19" s="24" t="inlineStr">
        <is>
          <t>🟡 WATCH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 ht="30" customHeight="1">
      <c r="A1" s="1" t="inlineStr">
        <is>
          <t>HOW TO TEST TB VARIANCE ANALYSIS</t>
        </is>
      </c>
    </row>
    <row r="2" ht="18" customHeight="1">
      <c r="A2" s="7" t="inlineStr"/>
    </row>
    <row r="3" ht="18" customHeight="1">
      <c r="A3" s="28" t="inlineStr">
        <is>
          <t>STEP 1: Open http://127.0.0.1:3006/tb-variance</t>
        </is>
      </c>
    </row>
    <row r="4" ht="18" customHeight="1">
      <c r="A4" s="7" t="inlineStr"/>
    </row>
    <row r="5" ht="18" customHeight="1">
      <c r="A5" s="28" t="inlineStr">
        <is>
          <t>STEP 2: Current Period TB → upload 'Current_TB_FY2026' sheet</t>
        </is>
      </c>
    </row>
    <row r="6" ht="18" customHeight="1">
      <c r="A6" s="7" t="inlineStr">
        <is>
          <t xml:space="preserve">         (save as separate CSV or use this Excel file)</t>
        </is>
      </c>
    </row>
    <row r="7" ht="18" customHeight="1">
      <c r="A7" s="29" t="inlineStr"/>
    </row>
    <row r="8" ht="18" customHeight="1">
      <c r="A8" s="28" t="inlineStr">
        <is>
          <t>STEP 3: Prior Period TB → upload 'Prior_TB_FY2025' sheet</t>
        </is>
      </c>
    </row>
    <row r="9" ht="18" customHeight="1">
      <c r="A9" s="29" t="inlineStr"/>
    </row>
    <row r="10" ht="18" customHeight="1">
      <c r="A10" s="28" t="inlineStr">
        <is>
          <t>STEP 4: Set Materiality INR = 50000</t>
        </is>
      </c>
    </row>
    <row r="11" ht="18" customHeight="1">
      <c r="A11" s="29" t="inlineStr">
        <is>
          <t xml:space="preserve">         Set Materiality % = 10</t>
        </is>
      </c>
    </row>
    <row r="12" ht="18" customHeight="1">
      <c r="A12" s="7" t="inlineStr"/>
    </row>
    <row r="13" ht="18" customHeight="1">
      <c r="A13" s="28" t="inlineStr">
        <is>
          <t>STEP 5: Click 'Analyse Variances'</t>
        </is>
      </c>
    </row>
    <row r="14" ht="18" customHeight="1">
      <c r="A14" s="7" t="inlineStr"/>
    </row>
    <row r="15" ht="18" customHeight="1">
      <c r="A15" s="28" t="inlineStr">
        <is>
          <t>EXPECTED RESULTS:</t>
        </is>
      </c>
    </row>
    <row r="16" ht="18" customHeight="1">
      <c r="A16" s="30" t="inlineStr">
        <is>
          <t xml:space="preserve">  → 12-15 material movements flagged</t>
        </is>
      </c>
    </row>
    <row r="17" ht="18" customHeight="1">
      <c r="A17" s="30" t="inlineStr">
        <is>
          <t xml:space="preserve">  → Revenue Goods: +₹4,00,000 (+14%) — MATERIAL</t>
        </is>
      </c>
    </row>
    <row r="18" ht="18" customHeight="1">
      <c r="A18" s="30" t="inlineStr">
        <is>
          <t xml:space="preserve">  → Trade Receivables: +₹2,00,000 (+28%) — MATERIAL</t>
        </is>
      </c>
    </row>
    <row r="19" ht="18" customHeight="1">
      <c r="A19" s="30" t="inlineStr">
        <is>
          <t xml:space="preserve">  → Plant &amp; Machinery: +₹2,00,000 (+12%) — MATERIAL</t>
        </is>
      </c>
    </row>
    <row r="20" ht="18" customHeight="1">
      <c r="A20" s="30" t="inlineStr">
        <is>
          <t xml:space="preserve">  → Term Loan reduced: -₹70,000 (-11%) — MATERIAL</t>
        </is>
      </c>
    </row>
    <row r="21" ht="18" customHeight="1">
      <c r="A21" s="30" t="inlineStr">
        <is>
          <t xml:space="preserve">  → Accrued Expenses: +₹44,000 (+45%) — MATERIAL</t>
        </is>
      </c>
    </row>
    <row r="22" ht="18" customHeight="1">
      <c r="A22" s="7" t="inlineStr"/>
    </row>
    <row r="23" ht="18" customHeight="1">
      <c r="A23" s="28" t="inlineStr">
        <is>
          <t>AI COMMENTARY (needs VITE_GEMINI_API_KEY in .env):</t>
        </is>
      </c>
    </row>
    <row r="24" ht="18" customHeight="1">
      <c r="A24" s="7" t="inlineStr">
        <is>
          <t xml:space="preserve">  Should generate CFO-level explanation for top movements</t>
        </is>
      </c>
    </row>
    <row r="25" ht="18" customHeight="1">
      <c r="A25" s="29" t="inlineStr"/>
    </row>
    <row r="26" ht="18" customHeight="1">
      <c r="A26" s="28" t="inlineStr">
        <is>
          <t>EXPORT:</t>
        </is>
      </c>
    </row>
    <row r="27" ht="18" customHeight="1">
      <c r="A27" s="29" t="inlineStr">
        <is>
          <t xml:space="preserve">  Click Export Excel to download flagged accounts</t>
        </is>
      </c>
    </row>
    <row r="28" ht="18" customHeight="1">
      <c r="A28" s="7" t="inlineStr"/>
    </row>
    <row r="29" ht="18" customHeight="1">
      <c r="A29" s="28" t="inlineStr">
        <is>
          <t>NOTE: The 'Expected_Variances' sheet shows</t>
        </is>
      </c>
    </row>
    <row r="30" ht="18" customHeight="1">
      <c r="A30" s="7" t="inlineStr">
        <is>
          <t xml:space="preserve">      what the analysis output should look like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2026-04-10T11:56:37Z</dcterms:created>
  <dcterms:modified xmlns:dcterms="http://purl.org/dc/terms/" xmlns:xsi="http://www.w3.org/2001/XMLSchema-instance" xsi:type="dcterms:W3CDTF">2026-04-10T11:56:38Z</dcterms:modified>
</cp:coreProperties>
</file>