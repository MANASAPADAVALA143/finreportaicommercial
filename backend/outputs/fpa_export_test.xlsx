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nce Analysis" sheetId="1" state="visible" r:id="rId1"/>
    <sheet xmlns:r="http://schemas.openxmlformats.org/officeDocument/2006/relationships" name="AI Commentary" sheetId="2" state="visible" r:id="rId2"/>
    <sheet xmlns:r="http://schemas.openxmlformats.org/officeDocument/2006/relationships" name="Risk Register"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5A623"/>
      <sz val="11"/>
    </font>
    <font>
      <color rgb="00FFFFFF"/>
      <sz val="10"/>
    </font>
    <font>
      <b val="1"/>
      <color rgb="00F5A623"/>
      <sz val="13"/>
    </font>
    <font>
      <color rgb="00CCCCCC"/>
      <sz val="10"/>
    </font>
  </fonts>
  <fills count="6">
    <fill>
      <patternFill/>
    </fill>
    <fill>
      <patternFill patternType="gray125"/>
    </fill>
    <fill>
      <patternFill patternType="solid">
        <fgColor rgb="000A0F1E"/>
      </patternFill>
    </fill>
    <fill>
      <patternFill patternType="solid">
        <fgColor rgb="001A4731"/>
      </patternFill>
    </fill>
    <fill>
      <patternFill patternType="solid">
        <fgColor rgb="004A1919"/>
      </patternFill>
    </fill>
    <fill>
      <patternFill patternType="solid">
        <fgColor rgb="00141B2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xf>
    <xf numFmtId="164" fontId="2" fillId="3" borderId="0" applyAlignment="1" pivotButton="0" quotePrefix="0" xfId="0">
      <alignment horizontal="center"/>
    </xf>
    <xf numFmtId="0" fontId="2" fillId="4" borderId="0" applyAlignment="1" pivotButton="0" quotePrefix="0" xfId="0">
      <alignment horizontal="center"/>
    </xf>
    <xf numFmtId="164" fontId="2" fillId="4" borderId="0" applyAlignment="1" pivotButton="0" quotePrefix="0" xfId="0">
      <alignment horizontal="center"/>
    </xf>
    <xf numFmtId="0" fontId="3" fillId="2" borderId="0" pivotButton="0" quotePrefix="0" xfId="0"/>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Budget vs Actual</a:t>
            </a:r>
          </a:p>
        </rich>
      </tx>
    </title>
    <plotArea>
      <barChart>
        <barDir val="col"/>
        <grouping val="clustered"/>
        <ser>
          <idx val="0"/>
          <order val="0"/>
          <tx>
            <strRef>
              <f>'Variance Analysis'!B1</f>
            </strRef>
          </tx>
          <spPr>
            <a:ln xmlns:a="http://schemas.openxmlformats.org/drawingml/2006/main">
              <a:prstDash val="solid"/>
            </a:ln>
          </spPr>
          <cat>
            <numRef>
              <f>'Variance Analysis'!$A$2:$A$3</f>
            </numRef>
          </cat>
          <val>
            <numRef>
              <f>'Variance Analysis'!$B$2:$B$3</f>
            </numRef>
          </val>
        </ser>
        <ser>
          <idx val="1"/>
          <order val="1"/>
          <tx>
            <strRef>
              <f>'Variance Analysis'!C1</f>
            </strRef>
          </tx>
          <spPr>
            <a:ln xmlns:a="http://schemas.openxmlformats.org/drawingml/2006/main">
              <a:prstDash val="solid"/>
            </a:ln>
          </spPr>
          <cat>
            <numRef>
              <f>'Variance Analysis'!$A$2:$A$3</f>
            </numRef>
          </cat>
          <val>
            <numRef>
              <f>'Variance Analysis'!$C$2:$C$3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Account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c r="A1" s="1" t="inlineStr">
        <is>
          <t>Account</t>
        </is>
      </c>
      <c r="B1" s="1" t="inlineStr">
        <is>
          <t>Budget</t>
        </is>
      </c>
      <c r="C1" s="1" t="inlineStr">
        <is>
          <t>Actual</t>
        </is>
      </c>
      <c r="D1" s="1" t="inlineStr">
        <is>
          <t>Variance (£)</t>
        </is>
      </c>
      <c r="E1" s="1" t="inlineStr">
        <is>
          <t>Variance (%)</t>
        </is>
      </c>
      <c r="F1" s="1" t="inlineStr">
        <is>
          <t>Status</t>
        </is>
      </c>
    </row>
    <row r="2">
      <c r="A2" s="2" t="inlineStr">
        <is>
          <t>Revenue</t>
        </is>
      </c>
      <c r="B2" s="2" t="n">
        <v>100000</v>
      </c>
      <c r="C2" s="2" t="n">
        <v>112000</v>
      </c>
      <c r="D2" s="2" t="n">
        <v>12000</v>
      </c>
      <c r="E2" s="3" t="n">
        <v>0.12</v>
      </c>
      <c r="F2" s="2" t="inlineStr">
        <is>
          <t>Favourable</t>
        </is>
      </c>
    </row>
    <row r="3">
      <c r="A3" s="4" t="inlineStr">
        <is>
          <t>Payroll</t>
        </is>
      </c>
      <c r="B3" s="4" t="n">
        <v>40000</v>
      </c>
      <c r="C3" s="4" t="n">
        <v>46000</v>
      </c>
      <c r="D3" s="4" t="n">
        <v>-6000</v>
      </c>
      <c r="E3" s="5" t="n">
        <v>-0.15</v>
      </c>
      <c r="F3" s="4" t="inlineStr">
        <is>
          <t>Critical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10" customWidth="1" min="1" max="1"/>
  </cols>
  <sheetData>
    <row r="1" ht="30" customHeight="1">
      <c r="A1" s="6" t="inlineStr">
        <is>
          <t>EXECUTIVE SUMMARY</t>
        </is>
      </c>
    </row>
    <row r="2" ht="112" customHeight="1">
      <c r="A2" s="7" t="inlineStr">
        <is>
          <t>**Revenue exceeded budget by $12,000 (12%) with actual results of $112,000**
• Strong revenue performance driven by higher-than-expected sales volume, delivering $12,000 above the $100,000 budget target
• Payroll costs ran $6,000 over budget at $46,000 versus planned $40,000, representing a concerning 15% overspend that requires immediate attention
• **Risk**: Payroll variance of 15% suggests potential staffing inefficiencies or unplanned hiring that could erode profit margins if not addressed quickly
• **Positive**: Revenue outperformance of 12% indicates strong market demand and effective sales execution, providing cushion against cost overruns
• Net impact shows revenue gains ($12,000) partially offset by higher labor costs ($6,000), leaving $6,000 in favorable variance to bottom line</t>
        </is>
      </c>
    </row>
    <row r="4" ht="30" customHeight="1">
      <c r="A4" s="6" t="inlineStr">
        <is>
          <t>CFO COMMENTARY</t>
        </is>
      </c>
    </row>
    <row r="5" ht="196" customHeight="1">
      <c r="A5" s="7" t="inlineStr">
        <is>
          <t>**Q3 BUDGET VARIANCE ANALYSIS**
**TOP REVENUE DRIVERS:**
1. **Revenue outperformance: +$12K (12%)** - Strong execution across all channels delivered solid top-line growth above forecast.
**CRITICAL COST RISKS:**
1. **Payroll overrun: -$6K (-15%)** - Exceeded budget by 15%, representing our largest adverse variance and immediate margin pressure.
**ITEMS &gt;10% ADVERSE VARIANCE:**
- **Payroll: -15%** - Requires immediate attention
**ROOT CAUSE &amp; CORRECTIVE ACTIONS:**
**Payroll Risk:** The $6K overspend likely stems from unplanned overtime, temporary staffing, or salary adjustments not captured in budget. 
**Action:** Implement weekly payroll tracking with department-level approval gates for any hours exceeding 105% of weekly budget allocation.
**BOTTOM LINE:**
While revenue growth of 12% demonstrates strong market execution, payroll discipline erosion at -15% is concerning. The $6K net positive variance masks underlying cost control issues that will compound if unaddressed.
**IMMEDIATE PRIORITIES:**
1. Lock down payroll controls within 2 weeks
2. Maintain revenue momentum through Q4
3. Establish variance thresholds: &gt;5% requires explanation, &gt;10% requires action plan
Net impact: +$6K favorable, but operational discipline needs tightening.</t>
        </is>
      </c>
    </row>
    <row r="7" ht="30" customHeight="1">
      <c r="A7" s="6" t="inlineStr">
        <is>
          <t>BOARD NARRATIVE</t>
        </is>
      </c>
    </row>
    <row r="8" ht="238" customHeight="1">
      <c r="A8" s="7" t="inlineStr">
        <is>
          <t>**October Performance Summary**
We delivered strong top-line growth at 12% above budget ($112K vs $100K), though margin compression from elevated labor costs requires immediate attention.
**Key Performance Drivers:**
• Revenue exceeded budget by $12K (12%), indicating robust demand and effective market execution
• Top-line momentum suggests our strategic positioning is resonating with customers
• Strong sales performance provides foundation for scaling operations
**Critical Risk Areas:**
• Payroll variance of -$6K (-15% over budget) is eroding profitability and threatens margin targets
• Labor cost inflation at current trajectory will compress EBITDA by ~600 basis points if unchecked
• Wage pressure may signal broader operational inefficiencies or unplanned headcount additions
**Forward Outlook**
The revenue outperformance demonstrates market opportunity, but we must immediately address the payroll variance to protect margins. Management should evaluate whether the labor overspend reflects necessary investments in growth capacity or operational drift. If the former, we need revised forecasts showing path to margin recovery; if the latter, immediate cost discipline is required. The 12% revenue beat suggests we can absorb some labor investment, but current burn rate is unsustainable. Recommend conducting workforce optimization review and implementing tighter budget controls while maintaining growth momentum. November will be critical for demonstrating we can scale revenue without proportional cost increases.
*Word count: 186*</t>
        </is>
      </c>
    </row>
    <row r="10" ht="30" customHeight="1">
      <c r="A10" s="6" t="inlineStr">
        <is>
          <t>RISK FLAGS</t>
        </is>
      </c>
    </row>
    <row r="11" ht="238" customHeight="1">
      <c r="A11" s="7" t="inlineStr">
        <is>
          <t># RISK REGISTER - VARIANCE ANALYSIS
| Risk | Severity | Recommended Action |
|------|----------|-------------------|
| **Payroll Overrun** | **CRITICAL** | **IMMEDIATE ESCALATION REQUIRED** - $6K (15%) adverse variance hits critical threshold. Demand detailed headcount reconciliation and overtime analysis from HR/Operations. Prepare board-ready explanation of cost drivers and corrective measures. |
| **Revenue Outperformance Without Cost Control** | **WATCH** | Investigate revenue mix and sustainability - 12% beat suggests potential volume/pricing upside, but payroll grew 15% vs revenue growth of 12%. Analyze labor productivity metrics and ensure revenue gains aren't being eroded by uncontrolled cost expansion. |
| **Operating Leverage Deterioration** | **WATCH** | Revenue per dollar of payroll declined from $2.50 budgeted to $2.43 actual. This negative operating leverage trend could signal efficiency issues that will compound if revenue growth moderates. |
## KEY BOARD EXPOSURE RISKS:
- **Payroll variance exactly at 15% critical threshold** - Board will question management's cost discipline
- **Inability to explain $6K payroll overage** despite revenue beat will raise competency concerns
- **Lack of forward-looking corrective action plan** will appear reactive rather than proactive
## IMMEDIATE ACTIONS REQUIRED:
1. Obtain detailed payroll variance analysis within 24 hours
2. Prepare 3-month payroll forecast with specific cost control measures
3. Draft board memo explaining variance drivers and management response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showGridLines="0" workbookViewId="0">
      <selection activeCell="A1" sqref="A1"/>
    </sheetView>
  </sheetViews>
  <sheetFormatPr baseColWidth="8" defaultRowHeight="15"/>
  <cols>
    <col width="40" customWidth="1" min="1" max="1"/>
    <col width="20" customWidth="1" min="2" max="2"/>
    <col width="50" customWidth="1" min="3" max="3"/>
  </cols>
  <sheetData>
    <row r="1">
      <c r="A1" s="1" t="inlineStr">
        <is>
          <t>Risk Item</t>
        </is>
      </c>
      <c r="B1" s="1" t="inlineStr">
        <is>
          <t>Severity</t>
        </is>
      </c>
      <c r="C1" s="1" t="inlineStr">
        <is>
          <t>Recommended Action</t>
        </is>
      </c>
    </row>
    <row r="2" ht="220" customHeight="1">
      <c r="A2" s="7" t="inlineStr">
        <is>
          <t># RISK REGISTER - VARIANCE ANALYSIS
| Risk | Severity | Recommended Action |
|------|----------|-------------------|
| **Payroll Overrun** | **CRITICAL** | **IMMEDIATE ESCALATION REQUIRED** - $6K (15%) adverse variance hits critical threshold. Demand detailed headcount reconciliation and overtime analysis from HR/Operations. Prepare board-ready explanation of cost drivers and corrective measures. |
| **Revenue Outperformance Without Cost Control** | **WATCH** | Investigate revenue mix and sustainability - 12% beat suggests potential volume/pricing upside, but payroll grew 15% vs revenue growth of 12%. Analyze labor productivity metrics and ensure revenue gains aren't being eroded by uncontrolled cost expansion. |
| **Operating Leverage Deterioration** | **WATCH** | Revenue per dollar of payroll declined from $2.50 budgeted to $2.43 actual. This negative operating leverage trend could signal efficiency issues that will compound if revenue growth moderates. |
## KEY BOARD EXPOSURE RISKS:
- **Payroll variance exactly at 15% critical threshold** - Board will question management's cost discipline
- **Inability to explain $6K payroll overage** despite revenue beat will raise competency concerns
- **Lack of forward-looking corrective action plan** will appear reactive rather than proactive
## IMMEDIATE ACTIONS REQUIRED:
1. Obtain detailed payroll variance analysis within 24 hours
2. Prepare 3-month payroll forecast with specific cost control measures
3. Draft board memo explaining variance drivers and management response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2026-05-07T11:25:35Z</dcterms:created>
  <dcterms:modified xmlns:dcterms="http://purl.org/dc/terms/" xmlns:xsi="http://www.w3.org/2001/XMLSchema-instance" xsi:type="dcterms:W3CDTF">2026-05-07T11:25:35Z</dcterms:modified>
</cp:coreProperties>
</file>